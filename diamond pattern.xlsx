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24953D0-EEFC-4F01-B75A-C87956C276FB}" xr6:coauthVersionLast="36" xr6:coauthVersionMax="36" xr10:uidLastSave="{00000000-0000-0000-0000-000000000000}"/>
  <bookViews>
    <workbookView xWindow="0" yWindow="0" windowWidth="20490" windowHeight="7545" activeTab="1" xr2:uid="{C238EE16-F459-4677-99DC-AB5BCBEC728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2" i="1"/>
  <c r="L6" i="3"/>
  <c r="M6" i="3"/>
  <c r="E26" i="3"/>
  <c r="E5" i="3"/>
  <c r="E7" i="3"/>
  <c r="E9" i="3"/>
  <c r="E11" i="3"/>
  <c r="E13" i="3"/>
  <c r="E15" i="3"/>
  <c r="E17" i="3"/>
  <c r="E19" i="3"/>
  <c r="E21" i="3"/>
  <c r="E23" i="3"/>
  <c r="E25" i="3"/>
  <c r="E27" i="3"/>
  <c r="E29" i="3"/>
  <c r="E31" i="3"/>
  <c r="E33" i="3"/>
  <c r="E2" i="3"/>
  <c r="D3" i="3"/>
  <c r="E3" i="3" s="1"/>
  <c r="D4" i="3"/>
  <c r="E4" i="3" s="1"/>
  <c r="D5" i="3"/>
  <c r="D6" i="3"/>
  <c r="E6" i="3" s="1"/>
  <c r="D7" i="3"/>
  <c r="D8" i="3"/>
  <c r="E8" i="3" s="1"/>
  <c r="D9" i="3"/>
  <c r="D10" i="3"/>
  <c r="E10" i="3" s="1"/>
  <c r="D11" i="3"/>
  <c r="D12" i="3"/>
  <c r="E12" i="3" s="1"/>
  <c r="D13" i="3"/>
  <c r="D14" i="3"/>
  <c r="E14" i="3" s="1"/>
  <c r="D15" i="3"/>
  <c r="D16" i="3"/>
  <c r="E16" i="3" s="1"/>
  <c r="D17" i="3"/>
  <c r="D18" i="3"/>
  <c r="E18" i="3" s="1"/>
  <c r="D19" i="3"/>
  <c r="D20" i="3"/>
  <c r="E20" i="3" s="1"/>
  <c r="D21" i="3"/>
  <c r="D22" i="3"/>
  <c r="E22" i="3" s="1"/>
  <c r="D23" i="3"/>
  <c r="D24" i="3"/>
  <c r="E24" i="3" s="1"/>
  <c r="D25" i="3"/>
  <c r="D26" i="3"/>
  <c r="D27" i="3"/>
  <c r="D28" i="3"/>
  <c r="E28" i="3" s="1"/>
  <c r="D29" i="3"/>
  <c r="D30" i="3"/>
  <c r="E30" i="3" s="1"/>
  <c r="D31" i="3"/>
  <c r="D32" i="3"/>
  <c r="E32" i="3" s="1"/>
  <c r="D33" i="3"/>
  <c r="D34" i="3"/>
  <c r="E34" i="3" s="1"/>
  <c r="D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</calcChain>
</file>

<file path=xl/sharedStrings.xml><?xml version="1.0" encoding="utf-8"?>
<sst xmlns="http://schemas.openxmlformats.org/spreadsheetml/2006/main" count="125" uniqueCount="49">
  <si>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</si>
  <si>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</si>
  <si>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</si>
  <si>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</si>
  <si>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</si>
  <si>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</si>
  <si>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</si>
  <si>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</si>
  <si>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</si>
  <si>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</si>
  <si>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</si>
  <si>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</si>
  <si>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</si>
  <si>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</si>
  <si>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</si>
  <si>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</si>
  <si>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</si>
  <si>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</si>
  <si>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</si>
  <si>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</si>
  <si>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</si>
  <si>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</si>
  <si>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</si>
  <si>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</si>
  <si>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</si>
  <si>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</si>
  <si>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</si>
  <si>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</si>
  <si>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</si>
  <si>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</si>
  <si>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</si>
  <si>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</si>
  <si>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</si>
  <si>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Number</t>
  </si>
  <si>
    <t>Amount Deposited</t>
  </si>
  <si>
    <t>Interest Amount</t>
  </si>
  <si>
    <t>Actual Interest Percentage</t>
  </si>
  <si>
    <t>Actual Interest Percentage for Customer 1 = Interest Amount for Customer 2 / Amount Deposited for Customer 1</t>
  </si>
  <si>
    <t>Actual Interest Percentage for Customer 34 = Interest Amount for Customer 1 / Amount Deposited for Customer 34</t>
  </si>
  <si>
    <t xml:space="preserve">There is some error in the data entry - Interest amount for customer 1 has been entered in interest amount </t>
  </si>
  <si>
    <t>for customer 2 field. Calculate the actual interest percentage for each customer</t>
  </si>
  <si>
    <t>Interest Rate</t>
  </si>
  <si>
    <t>Total Amount in Account</t>
  </si>
  <si>
    <t>Find the amount deposited and calculate the total amount in a customers account</t>
  </si>
  <si>
    <t>Amount Deposited = Interest amount / Interest Rate</t>
  </si>
  <si>
    <t>Total amount in account = Amount Deposited + Interest Amount</t>
  </si>
  <si>
    <t>Amount Deposited = Interest Rate / Interest amount</t>
  </si>
  <si>
    <t>If a customer deposited 50,000 and ended up with the same amount total amount in account as Customer 25, what was his Interest Amount?</t>
  </si>
  <si>
    <t>customerX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</si>
</sst>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10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2" fontId="1" fillId="0" borderId="3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2" fontId="0" fillId="0" borderId="0" xfId="0" applyNumberFormat="1"/>
    <xf numFmtId="0" fontId="0" fillId="0" borderId="0" xfId="0" applyNumberFormat="1"/>
    <xf numFmtId="0" fontId="1" fillId="0" borderId="4" xfId="0" applyFont="1" applyFill="1" applyBorder="1" applyAlignment="1">
      <alignment wrapText="1"/>
    </xf>
    <xf numFmtId="9" fontId="1" fillId="0" borderId="3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58BC-017E-4D51-A295-04419E12D1CE}">
  <sheetPr codeName="Sheet1"/>
  <dimension ref="A1:G34"/>
  <sheetViews>
    <sheetView workbookViewId="0">
      <selection activeCell="E4" sqref="E4"/>
    </sheetView>
  </sheetViews>
  <sheetFormatPr defaultRowHeight="15" x14ac:dyDescent="0.25"/>
  <cols>
    <col min="1" max="3" width="16.85546875" customWidth="1"/>
    <col min="4" max="4" width="19.7109375" style="18" customWidth="1"/>
  </cols>
  <sheetData>
    <row r="1" spans="1:7" ht="25.5" customHeight="1" thickBot="1" x14ac:dyDescent="0.3">
      <c r="A1" s="3" t="s">
        <v>33</v>
      </c>
      <c r="B1" s="4" t="s">
        <v>34</v>
      </c>
      <c r="C1" s="4" t="s">
        <v>35</v>
      </c>
      <c r="D1" s="16" t="s">
        <v>36</v>
      </c>
      <c r="G1" s="8" t="s">
        <v>39</v>
      </c>
    </row>
    <row r="2" spans="1:7" ht="15.75" thickBot="1" x14ac:dyDescent="0.3">
      <c r="A2" s="1" t="s">
        <v>0</v>
      </c>
      <c r="B2" s="2">
        <v>24485</v>
      </c>
      <c r="C2" s="2">
        <v>1754</v>
      </c>
      <c r="D2" s="17">
        <f>C3/B2</f>
        <v>8.1519297529099449E-2</v>
      </c>
      <c r="G2" s="6" t="s">
        <v>40</v>
      </c>
    </row>
    <row r="3" spans="1:7" ht="15.75" thickBot="1" x14ac:dyDescent="0.3">
      <c r="A3" s="1" t="s">
        <v>1</v>
      </c>
      <c r="B3" s="2">
        <v>20931</v>
      </c>
      <c r="C3" s="2">
        <v>1996</v>
      </c>
      <c r="D3" s="17">
        <f t="shared" ref="D3:D33" si="0">C4/B3</f>
        <v>4.9209306769862883E-2</v>
      </c>
      <c r="G3" s="6"/>
    </row>
    <row r="4" spans="1:7" ht="15.75" thickBot="1" x14ac:dyDescent="0.3">
      <c r="A4" s="1" t="s">
        <v>2</v>
      </c>
      <c r="B4" s="2">
        <v>23127</v>
      </c>
      <c r="C4" s="2">
        <v>1030</v>
      </c>
      <c r="D4" s="17">
        <f t="shared" si="0"/>
        <v>6.2005448177454923E-2</v>
      </c>
    </row>
    <row r="5" spans="1:7" ht="15.75" thickBot="1" x14ac:dyDescent="0.3">
      <c r="A5" s="1" t="s">
        <v>3</v>
      </c>
      <c r="B5" s="2">
        <v>22962</v>
      </c>
      <c r="C5" s="2">
        <v>1434</v>
      </c>
      <c r="D5" s="17">
        <f t="shared" si="0"/>
        <v>7.1683651249891123E-2</v>
      </c>
    </row>
    <row r="6" spans="1:7" ht="15.75" thickBot="1" x14ac:dyDescent="0.3">
      <c r="A6" s="1" t="s">
        <v>4</v>
      </c>
      <c r="B6" s="2">
        <v>18138</v>
      </c>
      <c r="C6" s="2">
        <v>1646</v>
      </c>
      <c r="D6" s="17">
        <f t="shared" si="0"/>
        <v>6.1803947513507554E-2</v>
      </c>
    </row>
    <row r="7" spans="1:7" ht="15.75" thickBot="1" x14ac:dyDescent="0.3">
      <c r="A7" s="1" t="s">
        <v>5</v>
      </c>
      <c r="B7" s="2">
        <v>15145</v>
      </c>
      <c r="C7" s="2">
        <v>1121</v>
      </c>
      <c r="D7" s="17">
        <f t="shared" si="0"/>
        <v>8.4780455595906246E-2</v>
      </c>
    </row>
    <row r="8" spans="1:7" ht="15.75" thickBot="1" x14ac:dyDescent="0.3">
      <c r="A8" s="1" t="s">
        <v>6</v>
      </c>
      <c r="B8" s="2">
        <v>24812</v>
      </c>
      <c r="C8" s="2">
        <v>1284</v>
      </c>
      <c r="D8" s="17">
        <f t="shared" si="0"/>
        <v>5.8439464775108821E-2</v>
      </c>
      <c r="F8" s="7" t="s">
        <v>37</v>
      </c>
    </row>
    <row r="9" spans="1:7" ht="15.75" thickBot="1" x14ac:dyDescent="0.3">
      <c r="A9" s="1" t="s">
        <v>7</v>
      </c>
      <c r="B9" s="2">
        <v>20525</v>
      </c>
      <c r="C9" s="2">
        <v>1450</v>
      </c>
      <c r="D9" s="17">
        <f t="shared" si="0"/>
        <v>5.208282582216809E-2</v>
      </c>
      <c r="F9" s="7" t="s">
        <v>38</v>
      </c>
    </row>
    <row r="10" spans="1:7" ht="15.75" thickBot="1" x14ac:dyDescent="0.3">
      <c r="A10" s="1" t="s">
        <v>8</v>
      </c>
      <c r="B10" s="2">
        <v>23130</v>
      </c>
      <c r="C10" s="2">
        <v>1069</v>
      </c>
      <c r="D10" s="17">
        <f t="shared" si="0"/>
        <v>8.0458279290964121E-2</v>
      </c>
    </row>
    <row r="11" spans="1:7" ht="15.75" thickBot="1" x14ac:dyDescent="0.3">
      <c r="A11" s="1" t="s">
        <v>9</v>
      </c>
      <c r="B11" s="2">
        <v>24273</v>
      </c>
      <c r="C11" s="2">
        <v>1861</v>
      </c>
      <c r="D11" s="17">
        <f t="shared" si="0"/>
        <v>6.8924319202405965E-2</v>
      </c>
    </row>
    <row r="12" spans="1:7" ht="15.75" thickBot="1" x14ac:dyDescent="0.3">
      <c r="A12" s="1" t="s">
        <v>10</v>
      </c>
      <c r="B12" s="2">
        <v>15237</v>
      </c>
      <c r="C12" s="2">
        <v>1673</v>
      </c>
      <c r="D12" s="17">
        <f t="shared" si="0"/>
        <v>0.11511452385640218</v>
      </c>
    </row>
    <row r="13" spans="1:7" ht="15.75" thickBot="1" x14ac:dyDescent="0.3">
      <c r="A13" s="1" t="s">
        <v>11</v>
      </c>
      <c r="B13" s="2">
        <v>17722</v>
      </c>
      <c r="C13" s="2">
        <v>1754</v>
      </c>
      <c r="D13" s="17">
        <f t="shared" si="0"/>
        <v>7.9618553210698564E-2</v>
      </c>
    </row>
    <row r="14" spans="1:7" ht="15.75" thickBot="1" x14ac:dyDescent="0.3">
      <c r="A14" s="1" t="s">
        <v>12</v>
      </c>
      <c r="B14" s="2">
        <v>21108</v>
      </c>
      <c r="C14" s="2">
        <v>1411</v>
      </c>
      <c r="D14" s="17">
        <f t="shared" si="0"/>
        <v>9.2950540079590679E-2</v>
      </c>
    </row>
    <row r="15" spans="1:7" ht="15.75" thickBot="1" x14ac:dyDescent="0.3">
      <c r="A15" s="1" t="s">
        <v>13</v>
      </c>
      <c r="B15" s="2">
        <v>16731</v>
      </c>
      <c r="C15" s="2">
        <v>1962</v>
      </c>
      <c r="D15" s="17">
        <f t="shared" si="0"/>
        <v>7.2739226585380429E-2</v>
      </c>
    </row>
    <row r="16" spans="1:7" ht="15.75" thickBot="1" x14ac:dyDescent="0.3">
      <c r="A16" s="1" t="s">
        <v>14</v>
      </c>
      <c r="B16" s="2">
        <v>15269</v>
      </c>
      <c r="C16" s="2">
        <v>1217</v>
      </c>
      <c r="D16" s="17">
        <f t="shared" si="0"/>
        <v>9.1230597943545752E-2</v>
      </c>
    </row>
    <row r="17" spans="1:4" ht="15.75" thickBot="1" x14ac:dyDescent="0.3">
      <c r="A17" s="1" t="s">
        <v>15</v>
      </c>
      <c r="B17" s="2">
        <v>20979</v>
      </c>
      <c r="C17" s="2">
        <v>1393</v>
      </c>
      <c r="D17" s="17">
        <f t="shared" si="0"/>
        <v>9.3760427093760423E-2</v>
      </c>
    </row>
    <row r="18" spans="1:4" ht="15.75" thickBot="1" x14ac:dyDescent="0.3">
      <c r="A18" s="1" t="s">
        <v>16</v>
      </c>
      <c r="B18" s="2">
        <v>23996</v>
      </c>
      <c r="C18" s="2">
        <v>1967</v>
      </c>
      <c r="D18" s="17">
        <f t="shared" si="0"/>
        <v>6.3427237872978826E-2</v>
      </c>
    </row>
    <row r="19" spans="1:4" ht="15.75" thickBot="1" x14ac:dyDescent="0.3">
      <c r="A19" s="1" t="s">
        <v>17</v>
      </c>
      <c r="B19" s="2">
        <v>15789</v>
      </c>
      <c r="C19" s="2">
        <v>1522</v>
      </c>
      <c r="D19" s="17">
        <f t="shared" si="0"/>
        <v>0.10399645322693014</v>
      </c>
    </row>
    <row r="20" spans="1:4" ht="15.75" thickBot="1" x14ac:dyDescent="0.3">
      <c r="A20" s="1" t="s">
        <v>18</v>
      </c>
      <c r="B20" s="2">
        <v>16158</v>
      </c>
      <c r="C20" s="2">
        <v>1642</v>
      </c>
      <c r="D20" s="17">
        <f t="shared" si="0"/>
        <v>9.8527045426414162E-2</v>
      </c>
    </row>
    <row r="21" spans="1:4" ht="15.75" thickBot="1" x14ac:dyDescent="0.3">
      <c r="A21" s="1" t="s">
        <v>19</v>
      </c>
      <c r="B21" s="2">
        <v>18049</v>
      </c>
      <c r="C21" s="2">
        <v>1592</v>
      </c>
      <c r="D21" s="17">
        <f t="shared" si="0"/>
        <v>7.634772009529614E-2</v>
      </c>
    </row>
    <row r="22" spans="1:4" ht="15.75" thickBot="1" x14ac:dyDescent="0.3">
      <c r="A22" s="1" t="s">
        <v>20</v>
      </c>
      <c r="B22" s="2">
        <v>24832</v>
      </c>
      <c r="C22" s="2">
        <v>1378</v>
      </c>
      <c r="D22" s="17">
        <f t="shared" si="0"/>
        <v>7.168170103092783E-2</v>
      </c>
    </row>
    <row r="23" spans="1:4" ht="15.75" thickBot="1" x14ac:dyDescent="0.3">
      <c r="A23" s="1" t="s">
        <v>21</v>
      </c>
      <c r="B23" s="2">
        <v>18215</v>
      </c>
      <c r="C23" s="2">
        <v>1780</v>
      </c>
      <c r="D23" s="17">
        <f t="shared" si="0"/>
        <v>7.9824320614877847E-2</v>
      </c>
    </row>
    <row r="24" spans="1:4" ht="15.75" thickBot="1" x14ac:dyDescent="0.3">
      <c r="A24" s="1" t="s">
        <v>22</v>
      </c>
      <c r="B24" s="2">
        <v>16930</v>
      </c>
      <c r="C24" s="2">
        <v>1454</v>
      </c>
      <c r="D24" s="17">
        <f t="shared" si="0"/>
        <v>8.2220909627879507E-2</v>
      </c>
    </row>
    <row r="25" spans="1:4" ht="15.75" thickBot="1" x14ac:dyDescent="0.3">
      <c r="A25" s="1" t="s">
        <v>23</v>
      </c>
      <c r="B25" s="2">
        <v>21248</v>
      </c>
      <c r="C25" s="2">
        <v>1392</v>
      </c>
      <c r="D25" s="17">
        <f t="shared" si="0"/>
        <v>9.3655873493975902E-2</v>
      </c>
    </row>
    <row r="26" spans="1:4" ht="15.75" thickBot="1" x14ac:dyDescent="0.3">
      <c r="A26" s="1" t="s">
        <v>24</v>
      </c>
      <c r="B26" s="2">
        <v>16521</v>
      </c>
      <c r="C26" s="2">
        <v>1990</v>
      </c>
      <c r="D26" s="17">
        <f t="shared" si="0"/>
        <v>0.10864959748199261</v>
      </c>
    </row>
    <row r="27" spans="1:4" ht="15.75" thickBot="1" x14ac:dyDescent="0.3">
      <c r="A27" s="1" t="s">
        <v>25</v>
      </c>
      <c r="B27" s="2">
        <v>17532</v>
      </c>
      <c r="C27" s="2">
        <v>1795</v>
      </c>
      <c r="D27" s="17">
        <f t="shared" si="0"/>
        <v>6.913073237508556E-2</v>
      </c>
    </row>
    <row r="28" spans="1:4" ht="15.75" thickBot="1" x14ac:dyDescent="0.3">
      <c r="A28" s="1" t="s">
        <v>26</v>
      </c>
      <c r="B28" s="2">
        <v>24188</v>
      </c>
      <c r="C28" s="2">
        <v>1212</v>
      </c>
      <c r="D28" s="17">
        <f t="shared" si="0"/>
        <v>6.5817760873160241E-2</v>
      </c>
    </row>
    <row r="29" spans="1:4" ht="15.75" thickBot="1" x14ac:dyDescent="0.3">
      <c r="A29" s="1" t="s">
        <v>27</v>
      </c>
      <c r="B29" s="2">
        <v>17058</v>
      </c>
      <c r="C29" s="2">
        <v>1592</v>
      </c>
      <c r="D29" s="17">
        <f t="shared" si="0"/>
        <v>0.11144331105639582</v>
      </c>
    </row>
    <row r="30" spans="1:4" ht="15.75" thickBot="1" x14ac:dyDescent="0.3">
      <c r="A30" s="1" t="s">
        <v>28</v>
      </c>
      <c r="B30" s="2">
        <v>20952</v>
      </c>
      <c r="C30" s="2">
        <v>1901</v>
      </c>
      <c r="D30" s="17">
        <f t="shared" si="0"/>
        <v>5.4266895761741124E-2</v>
      </c>
    </row>
    <row r="31" spans="1:4" ht="15.75" thickBot="1" x14ac:dyDescent="0.3">
      <c r="A31" s="1" t="s">
        <v>29</v>
      </c>
      <c r="B31" s="2">
        <v>24804</v>
      </c>
      <c r="C31" s="2">
        <v>1137</v>
      </c>
      <c r="D31" s="17">
        <f t="shared" si="0"/>
        <v>5.6966618287373004E-2</v>
      </c>
    </row>
    <row r="32" spans="1:4" ht="15.75" thickBot="1" x14ac:dyDescent="0.3">
      <c r="A32" s="1" t="s">
        <v>30</v>
      </c>
      <c r="B32" s="2">
        <v>15077</v>
      </c>
      <c r="C32" s="2">
        <v>1413</v>
      </c>
      <c r="D32" s="17">
        <f t="shared" si="0"/>
        <v>7.6208794853087486E-2</v>
      </c>
    </row>
    <row r="33" spans="1:4" ht="15.75" thickBot="1" x14ac:dyDescent="0.3">
      <c r="A33" s="1" t="s">
        <v>31</v>
      </c>
      <c r="B33" s="2">
        <v>15565</v>
      </c>
      <c r="C33" s="2">
        <v>1149</v>
      </c>
      <c r="D33" s="17">
        <f t="shared" si="0"/>
        <v>0.12830067459042724</v>
      </c>
    </row>
    <row r="34" spans="1:4" ht="15.75" thickBot="1" x14ac:dyDescent="0.3">
      <c r="A34" s="1" t="s">
        <v>32</v>
      </c>
      <c r="B34" s="2">
        <v>23470</v>
      </c>
      <c r="C34" s="2">
        <v>1997</v>
      </c>
      <c r="D34" s="17">
        <f>C2/B34</f>
        <v>7.4733702599062632E-2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C455-3236-4576-B8D5-DF69D4AF583A}">
  <dimension ref="A1:N34"/>
  <sheetViews>
    <sheetView tabSelected="1" workbookViewId="0">
      <selection activeCell="E2" sqref="E2"/>
    </sheetView>
  </sheetViews>
  <sheetFormatPr defaultRowHeight="15" x14ac:dyDescent="0.25"/>
  <cols>
    <col min="1" max="1" width="12.5703125" customWidth="1"/>
    <col min="2" max="2" width="7.140625" bestFit="1" customWidth="1"/>
    <col min="3" max="3" width="9.5703125" customWidth="1"/>
    <col min="4" max="4" width="11.85546875" customWidth="1"/>
    <col min="5" max="5" width="24.85546875" customWidth="1"/>
  </cols>
  <sheetData>
    <row r="1" spans="1:14" ht="31.5" customHeight="1" thickBot="1" x14ac:dyDescent="0.3">
      <c r="A1" s="3" t="s">
        <v>33</v>
      </c>
      <c r="B1" s="4" t="s">
        <v>41</v>
      </c>
      <c r="C1" s="4" t="s">
        <v>35</v>
      </c>
      <c r="D1" s="4" t="s">
        <v>34</v>
      </c>
      <c r="E1" s="4" t="s">
        <v>42</v>
      </c>
    </row>
    <row r="2" spans="1:14" ht="15.75" thickBot="1" x14ac:dyDescent="0.3">
      <c r="A2" s="1" t="s">
        <v>0</v>
      </c>
      <c r="B2" s="9">
        <v>4.3400000000000001E-2</v>
      </c>
      <c r="C2" s="2">
        <v>5931</v>
      </c>
      <c r="D2" s="1">
        <f>C2/B2</f>
        <v>136658.98617511519</v>
      </c>
      <c r="E2" s="1">
        <f>D2+C2</f>
        <v>142589.98617511519</v>
      </c>
    </row>
    <row r="3" spans="1:14" ht="15.75" thickBot="1" x14ac:dyDescent="0.3">
      <c r="A3" s="1" t="s">
        <v>1</v>
      </c>
      <c r="B3" s="9">
        <v>7.8100000000000003E-2</v>
      </c>
      <c r="C3" s="2">
        <v>5821</v>
      </c>
      <c r="D3" s="1">
        <f t="shared" ref="D3:D34" si="0">C3/B3</f>
        <v>74532.650448143409</v>
      </c>
      <c r="E3" s="1">
        <f t="shared" ref="E3:E34" si="1">D3+C3</f>
        <v>80353.650448143409</v>
      </c>
      <c r="J3" s="10" t="s">
        <v>43</v>
      </c>
      <c r="K3" s="1"/>
      <c r="L3" s="1"/>
      <c r="M3" s="1"/>
      <c r="N3" s="1"/>
    </row>
    <row r="4" spans="1:14" ht="15.75" thickBot="1" x14ac:dyDescent="0.3">
      <c r="A4" s="1" t="s">
        <v>2</v>
      </c>
      <c r="B4" s="9">
        <v>6.9199999999999998E-2</v>
      </c>
      <c r="C4" s="2">
        <v>4228</v>
      </c>
      <c r="D4" s="1">
        <f t="shared" si="0"/>
        <v>61098.265895953758</v>
      </c>
      <c r="E4" s="1">
        <f t="shared" si="1"/>
        <v>65326.265895953758</v>
      </c>
      <c r="J4" s="5" t="s">
        <v>44</v>
      </c>
      <c r="K4" s="1"/>
      <c r="L4" s="1"/>
      <c r="M4" s="1"/>
      <c r="N4" s="1"/>
    </row>
    <row r="5" spans="1:14" ht="15.75" thickBot="1" x14ac:dyDescent="0.3">
      <c r="A5" s="1" t="s">
        <v>3</v>
      </c>
      <c r="B5" s="9">
        <v>3.5700000000000003E-2</v>
      </c>
      <c r="C5" s="2">
        <v>5808</v>
      </c>
      <c r="D5" s="1">
        <f t="shared" si="0"/>
        <v>162689.07563025207</v>
      </c>
      <c r="E5" s="1">
        <f t="shared" si="1"/>
        <v>168497.07563025207</v>
      </c>
      <c r="J5" s="5" t="s">
        <v>45</v>
      </c>
      <c r="K5" s="1"/>
      <c r="L5" s="1"/>
      <c r="M5" s="1"/>
      <c r="N5" s="1"/>
    </row>
    <row r="6" spans="1:14" ht="15.75" thickBot="1" x14ac:dyDescent="0.3">
      <c r="A6" s="1" t="s">
        <v>4</v>
      </c>
      <c r="B6" s="9">
        <v>1.8599999999999998E-2</v>
      </c>
      <c r="C6" s="2">
        <v>4990</v>
      </c>
      <c r="D6" s="1">
        <f t="shared" si="0"/>
        <v>268279.56989247311</v>
      </c>
      <c r="E6" s="1">
        <f t="shared" si="1"/>
        <v>273269.56989247311</v>
      </c>
    </row>
    <row r="7" spans="1:14" ht="15.75" thickBot="1" x14ac:dyDescent="0.3">
      <c r="A7" s="1" t="s">
        <v>5</v>
      </c>
      <c r="B7" s="9">
        <v>8.9099999999999999E-2</v>
      </c>
      <c r="C7" s="2">
        <v>5111</v>
      </c>
      <c r="D7" s="1">
        <f t="shared" si="0"/>
        <v>57362.514029180697</v>
      </c>
      <c r="E7" s="1">
        <f t="shared" si="1"/>
        <v>62473.514029180697</v>
      </c>
    </row>
    <row r="8" spans="1:14" ht="15.75" thickBot="1" x14ac:dyDescent="0.3">
      <c r="A8" s="1" t="s">
        <v>6</v>
      </c>
      <c r="B8" s="9">
        <v>7.4399999999999994E-2</v>
      </c>
      <c r="C8" s="2">
        <v>4907</v>
      </c>
      <c r="D8" s="1">
        <f t="shared" si="0"/>
        <v>65954.301075268828</v>
      </c>
      <c r="E8" s="1">
        <f t="shared" si="1"/>
        <v>70861.301075268828</v>
      </c>
    </row>
    <row r="9" spans="1:14" ht="15.75" thickBot="1" x14ac:dyDescent="0.3">
      <c r="A9" s="1" t="s">
        <v>7</v>
      </c>
      <c r="B9" s="9">
        <v>1.9E-2</v>
      </c>
      <c r="C9" s="2">
        <v>4642</v>
      </c>
      <c r="D9" s="1">
        <f t="shared" si="0"/>
        <v>244315.78947368421</v>
      </c>
      <c r="E9" s="1">
        <f t="shared" si="1"/>
        <v>248957.78947368421</v>
      </c>
    </row>
    <row r="10" spans="1:14" ht="15.75" thickBot="1" x14ac:dyDescent="0.3">
      <c r="A10" s="1" t="s">
        <v>8</v>
      </c>
      <c r="B10" s="9">
        <v>5.3800000000000001E-2</v>
      </c>
      <c r="C10" s="2">
        <v>4122</v>
      </c>
      <c r="D10" s="1">
        <f t="shared" si="0"/>
        <v>76617.100371747205</v>
      </c>
      <c r="E10" s="1">
        <f t="shared" si="1"/>
        <v>80739.100371747205</v>
      </c>
    </row>
    <row r="11" spans="1:14" ht="15.75" thickBot="1" x14ac:dyDescent="0.3">
      <c r="A11" s="1" t="s">
        <v>9</v>
      </c>
      <c r="B11" s="9">
        <v>6.7900000000000002E-2</v>
      </c>
      <c r="C11" s="2">
        <v>5231</v>
      </c>
      <c r="D11" s="1">
        <f t="shared" si="0"/>
        <v>77039.76435935199</v>
      </c>
      <c r="E11" s="1">
        <f t="shared" si="1"/>
        <v>82270.76435935199</v>
      </c>
    </row>
    <row r="12" spans="1:14" ht="15.75" thickBot="1" x14ac:dyDescent="0.3">
      <c r="A12" s="1" t="s">
        <v>10</v>
      </c>
      <c r="B12" s="9">
        <v>6.5699999999999995E-2</v>
      </c>
      <c r="C12" s="2">
        <v>4806</v>
      </c>
      <c r="D12" s="1">
        <f t="shared" si="0"/>
        <v>73150.684931506854</v>
      </c>
      <c r="E12" s="1">
        <f t="shared" si="1"/>
        <v>77956.684931506854</v>
      </c>
    </row>
    <row r="13" spans="1:14" ht="15.75" thickBot="1" x14ac:dyDescent="0.3">
      <c r="A13" s="1" t="s">
        <v>11</v>
      </c>
      <c r="B13" s="9">
        <v>8.43E-2</v>
      </c>
      <c r="C13" s="2">
        <v>5477</v>
      </c>
      <c r="D13" s="1">
        <f t="shared" si="0"/>
        <v>64970.34400948992</v>
      </c>
      <c r="E13" s="1">
        <f t="shared" si="1"/>
        <v>70447.344009489927</v>
      </c>
    </row>
    <row r="14" spans="1:14" ht="15.75" thickBot="1" x14ac:dyDescent="0.3">
      <c r="A14" s="1" t="s">
        <v>12</v>
      </c>
      <c r="B14" s="9">
        <v>1.0699999999999999E-2</v>
      </c>
      <c r="C14" s="2">
        <v>5434</v>
      </c>
      <c r="D14" s="1">
        <f t="shared" si="0"/>
        <v>507850.46728971967</v>
      </c>
      <c r="E14" s="1">
        <f t="shared" si="1"/>
        <v>513284.46728971967</v>
      </c>
    </row>
    <row r="15" spans="1:14" ht="15.75" thickBot="1" x14ac:dyDescent="0.3">
      <c r="A15" s="1" t="s">
        <v>13</v>
      </c>
      <c r="B15" s="9">
        <v>2.3E-2</v>
      </c>
      <c r="C15" s="2">
        <v>4222</v>
      </c>
      <c r="D15" s="1">
        <f t="shared" si="0"/>
        <v>183565.21739130435</v>
      </c>
      <c r="E15" s="1">
        <f t="shared" si="1"/>
        <v>187787.21739130435</v>
      </c>
    </row>
    <row r="16" spans="1:14" ht="15.75" thickBot="1" x14ac:dyDescent="0.3">
      <c r="A16" s="1" t="s">
        <v>14</v>
      </c>
      <c r="B16" s="9">
        <v>1.03E-2</v>
      </c>
      <c r="C16" s="2">
        <v>5467</v>
      </c>
      <c r="D16" s="1">
        <f t="shared" si="0"/>
        <v>530776.6990291262</v>
      </c>
      <c r="E16" s="1">
        <f t="shared" si="1"/>
        <v>536243.6990291262</v>
      </c>
    </row>
    <row r="17" spans="1:5" ht="15.75" thickBot="1" x14ac:dyDescent="0.3">
      <c r="A17" s="1" t="s">
        <v>15</v>
      </c>
      <c r="B17" s="9">
        <v>2.6700000000000002E-2</v>
      </c>
      <c r="C17" s="2">
        <v>4728</v>
      </c>
      <c r="D17" s="1">
        <f t="shared" si="0"/>
        <v>177078.65168539324</v>
      </c>
      <c r="E17" s="1">
        <f t="shared" si="1"/>
        <v>181806.65168539324</v>
      </c>
    </row>
    <row r="18" spans="1:5" ht="15.75" thickBot="1" x14ac:dyDescent="0.3">
      <c r="A18" s="1" t="s">
        <v>16</v>
      </c>
      <c r="B18" s="9">
        <v>7.9600000000000004E-2</v>
      </c>
      <c r="C18" s="2">
        <v>4283</v>
      </c>
      <c r="D18" s="1">
        <f t="shared" si="0"/>
        <v>53806.532663316582</v>
      </c>
      <c r="E18" s="1">
        <f t="shared" si="1"/>
        <v>58089.532663316582</v>
      </c>
    </row>
    <row r="19" spans="1:5" ht="15.75" thickBot="1" x14ac:dyDescent="0.3">
      <c r="A19" s="1" t="s">
        <v>17</v>
      </c>
      <c r="B19" s="9">
        <v>8.3299999999999999E-2</v>
      </c>
      <c r="C19" s="2">
        <v>5069</v>
      </c>
      <c r="D19" s="1">
        <f t="shared" si="0"/>
        <v>60852.340936374552</v>
      </c>
      <c r="E19" s="1">
        <f t="shared" si="1"/>
        <v>65921.34093637456</v>
      </c>
    </row>
    <row r="20" spans="1:5" ht="15.75" thickBot="1" x14ac:dyDescent="0.3">
      <c r="A20" s="1" t="s">
        <v>18</v>
      </c>
      <c r="B20" s="9">
        <v>9.6000000000000002E-2</v>
      </c>
      <c r="C20" s="2">
        <v>4884</v>
      </c>
      <c r="D20" s="1">
        <f t="shared" si="0"/>
        <v>50875</v>
      </c>
      <c r="E20" s="1">
        <f t="shared" si="1"/>
        <v>55759</v>
      </c>
    </row>
    <row r="21" spans="1:5" ht="15.75" thickBot="1" x14ac:dyDescent="0.3">
      <c r="A21" s="1" t="s">
        <v>19</v>
      </c>
      <c r="B21" s="9">
        <v>9.9900000000000003E-2</v>
      </c>
      <c r="C21" s="2">
        <v>4279</v>
      </c>
      <c r="D21" s="1">
        <f t="shared" si="0"/>
        <v>42832.832832832835</v>
      </c>
      <c r="E21" s="1">
        <f t="shared" si="1"/>
        <v>47111.832832832835</v>
      </c>
    </row>
    <row r="22" spans="1:5" ht="15.75" thickBot="1" x14ac:dyDescent="0.3">
      <c r="A22" s="1" t="s">
        <v>20</v>
      </c>
      <c r="B22" s="9">
        <v>3.5700000000000003E-2</v>
      </c>
      <c r="C22" s="2">
        <v>5430</v>
      </c>
      <c r="D22" s="1">
        <f t="shared" si="0"/>
        <v>152100.84033613445</v>
      </c>
      <c r="E22" s="1">
        <f t="shared" si="1"/>
        <v>157530.84033613445</v>
      </c>
    </row>
    <row r="23" spans="1:5" ht="15.75" thickBot="1" x14ac:dyDescent="0.3">
      <c r="A23" s="1" t="s">
        <v>21</v>
      </c>
      <c r="B23" s="9">
        <v>4.7999999999999996E-3</v>
      </c>
      <c r="C23" s="2">
        <v>5409</v>
      </c>
      <c r="D23" s="1">
        <f t="shared" si="0"/>
        <v>1126875</v>
      </c>
      <c r="E23" s="1">
        <f t="shared" si="1"/>
        <v>1132284</v>
      </c>
    </row>
    <row r="24" spans="1:5" ht="15.75" thickBot="1" x14ac:dyDescent="0.3">
      <c r="A24" s="1" t="s">
        <v>22</v>
      </c>
      <c r="B24" s="9">
        <v>4.82E-2</v>
      </c>
      <c r="C24" s="2">
        <v>4009</v>
      </c>
      <c r="D24" s="1">
        <f t="shared" si="0"/>
        <v>83174.273858921166</v>
      </c>
      <c r="E24" s="1">
        <f t="shared" si="1"/>
        <v>87183.273858921166</v>
      </c>
    </row>
    <row r="25" spans="1:5" ht="15.75" thickBot="1" x14ac:dyDescent="0.3">
      <c r="A25" s="1" t="s">
        <v>23</v>
      </c>
      <c r="B25" s="9">
        <v>2.23E-2</v>
      </c>
      <c r="C25" s="2">
        <v>5071</v>
      </c>
      <c r="D25" s="1">
        <f t="shared" si="0"/>
        <v>227399.10313901346</v>
      </c>
      <c r="E25" s="1">
        <f t="shared" si="1"/>
        <v>232470.10313901346</v>
      </c>
    </row>
    <row r="26" spans="1:5" ht="15.75" thickBot="1" x14ac:dyDescent="0.3">
      <c r="A26" s="1" t="s">
        <v>24</v>
      </c>
      <c r="B26" s="9">
        <v>8.8200000000000001E-2</v>
      </c>
      <c r="C26" s="2">
        <v>5189</v>
      </c>
      <c r="D26" s="1">
        <f t="shared" si="0"/>
        <v>58832.199546485259</v>
      </c>
      <c r="E26" s="1">
        <f t="shared" si="1"/>
        <v>64021.199546485259</v>
      </c>
    </row>
    <row r="27" spans="1:5" ht="15.75" thickBot="1" x14ac:dyDescent="0.3">
      <c r="A27" s="1" t="s">
        <v>25</v>
      </c>
      <c r="B27" s="9">
        <v>1.9199999999999998E-2</v>
      </c>
      <c r="C27" s="2">
        <v>4974</v>
      </c>
      <c r="D27" s="1">
        <f t="shared" si="0"/>
        <v>259062.50000000003</v>
      </c>
      <c r="E27" s="1">
        <f t="shared" si="1"/>
        <v>264036.5</v>
      </c>
    </row>
    <row r="28" spans="1:5" ht="15.75" thickBot="1" x14ac:dyDescent="0.3">
      <c r="A28" s="1" t="s">
        <v>26</v>
      </c>
      <c r="B28" s="9">
        <v>4.3499999999999997E-2</v>
      </c>
      <c r="C28" s="2">
        <v>5571</v>
      </c>
      <c r="D28" s="1">
        <f t="shared" si="0"/>
        <v>128068.96551724139</v>
      </c>
      <c r="E28" s="1">
        <f t="shared" si="1"/>
        <v>133639.96551724139</v>
      </c>
    </row>
    <row r="29" spans="1:5" ht="15.75" thickBot="1" x14ac:dyDescent="0.3">
      <c r="A29" s="1" t="s">
        <v>27</v>
      </c>
      <c r="B29" s="9">
        <v>9.7999999999999997E-3</v>
      </c>
      <c r="C29" s="2">
        <v>4377</v>
      </c>
      <c r="D29" s="1">
        <f t="shared" si="0"/>
        <v>446632.6530612245</v>
      </c>
      <c r="E29" s="1">
        <f t="shared" si="1"/>
        <v>451009.6530612245</v>
      </c>
    </row>
    <row r="30" spans="1:5" ht="15.75" thickBot="1" x14ac:dyDescent="0.3">
      <c r="A30" s="1" t="s">
        <v>28</v>
      </c>
      <c r="B30" s="9">
        <v>7.0800000000000002E-2</v>
      </c>
      <c r="C30" s="2">
        <v>4909</v>
      </c>
      <c r="D30" s="1">
        <f t="shared" si="0"/>
        <v>69336.158192090399</v>
      </c>
      <c r="E30" s="1">
        <f t="shared" si="1"/>
        <v>74245.158192090399</v>
      </c>
    </row>
    <row r="31" spans="1:5" ht="15.75" thickBot="1" x14ac:dyDescent="0.3">
      <c r="A31" s="1" t="s">
        <v>29</v>
      </c>
      <c r="B31" s="9">
        <v>9.7100000000000006E-2</v>
      </c>
      <c r="C31" s="2">
        <v>5642</v>
      </c>
      <c r="D31" s="1">
        <f t="shared" si="0"/>
        <v>58105.046343975278</v>
      </c>
      <c r="E31" s="1">
        <f t="shared" si="1"/>
        <v>63747.046343975278</v>
      </c>
    </row>
    <row r="32" spans="1:5" ht="15.75" thickBot="1" x14ac:dyDescent="0.3">
      <c r="A32" s="1" t="s">
        <v>30</v>
      </c>
      <c r="B32" s="9">
        <v>2.46E-2</v>
      </c>
      <c r="C32" s="2">
        <v>4619</v>
      </c>
      <c r="D32" s="1">
        <f t="shared" si="0"/>
        <v>187764.22764227641</v>
      </c>
      <c r="E32" s="1">
        <f t="shared" si="1"/>
        <v>192383.22764227641</v>
      </c>
    </row>
    <row r="33" spans="1:5" ht="15.75" thickBot="1" x14ac:dyDescent="0.3">
      <c r="A33" s="1" t="s">
        <v>31</v>
      </c>
      <c r="B33" s="9">
        <v>9.5100000000000004E-2</v>
      </c>
      <c r="C33" s="2">
        <v>5571</v>
      </c>
      <c r="D33" s="1">
        <f t="shared" si="0"/>
        <v>58580.441640378544</v>
      </c>
      <c r="E33" s="1">
        <f t="shared" si="1"/>
        <v>64151.441640378544</v>
      </c>
    </row>
    <row r="34" spans="1:5" ht="15.75" thickBot="1" x14ac:dyDescent="0.3">
      <c r="A34" s="1" t="s">
        <v>32</v>
      </c>
      <c r="B34" s="9">
        <v>1.41E-2</v>
      </c>
      <c r="C34" s="2">
        <v>5146</v>
      </c>
      <c r="D34" s="1">
        <f t="shared" si="0"/>
        <v>364964.53900709219</v>
      </c>
      <c r="E34" s="1">
        <f t="shared" si="1"/>
        <v>370110.53900709219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6A5E-C468-4FFA-AB2A-06874AFA8393}">
  <dimension ref="A1:O34"/>
  <sheetViews>
    <sheetView workbookViewId="0">
      <selection activeCell="D2" sqref="D2"/>
    </sheetView>
  </sheetViews>
  <sheetFormatPr defaultRowHeight="15" x14ac:dyDescent="0.25"/>
  <cols>
    <col min="1" max="1" width="11.5703125" customWidth="1"/>
    <col min="2" max="2" width="10.42578125" customWidth="1"/>
    <col min="4" max="4" width="11.5703125" style="13" bestFit="1" customWidth="1"/>
    <col min="5" max="5" width="15.5703125" style="13" customWidth="1"/>
    <col min="11" max="11" width="12" bestFit="1" customWidth="1"/>
  </cols>
  <sheetData>
    <row r="1" spans="1:15" ht="32.25" customHeight="1" thickBot="1" x14ac:dyDescent="0.3">
      <c r="A1" s="3" t="s">
        <v>33</v>
      </c>
      <c r="B1" s="4" t="s">
        <v>41</v>
      </c>
      <c r="C1" s="4" t="s">
        <v>35</v>
      </c>
      <c r="D1" s="11" t="s">
        <v>34</v>
      </c>
      <c r="E1" s="11" t="s">
        <v>42</v>
      </c>
      <c r="I1" s="10" t="s">
        <v>43</v>
      </c>
      <c r="J1" s="1"/>
      <c r="K1" s="1"/>
      <c r="L1" s="1"/>
    </row>
    <row r="2" spans="1:15" ht="15.75" thickBot="1" x14ac:dyDescent="0.3">
      <c r="A2" s="1" t="s">
        <v>0</v>
      </c>
      <c r="B2" s="9">
        <v>4.3400000000000001E-2</v>
      </c>
      <c r="C2" s="2">
        <v>5931</v>
      </c>
      <c r="D2" s="12">
        <f>C2/B2</f>
        <v>136658.98617511519</v>
      </c>
      <c r="E2" s="12">
        <f>D2+C2</f>
        <v>142589.98617511519</v>
      </c>
      <c r="I2" s="5" t="s">
        <v>46</v>
      </c>
      <c r="J2" s="1"/>
      <c r="K2" s="1"/>
      <c r="L2" s="1"/>
    </row>
    <row r="3" spans="1:15" ht="15.75" thickBot="1" x14ac:dyDescent="0.3">
      <c r="A3" s="1" t="s">
        <v>1</v>
      </c>
      <c r="B3" s="9">
        <v>7.8100000000000003E-2</v>
      </c>
      <c r="C3" s="2">
        <v>5821</v>
      </c>
      <c r="D3" s="12">
        <f t="shared" ref="D3:D34" si="0">C3/B3</f>
        <v>74532.650448143409</v>
      </c>
      <c r="E3" s="12">
        <f t="shared" ref="E3:E34" si="1">D3+C3</f>
        <v>80353.650448143409</v>
      </c>
      <c r="I3" s="5" t="s">
        <v>45</v>
      </c>
      <c r="J3" s="1"/>
      <c r="K3" s="1"/>
      <c r="L3" s="1"/>
    </row>
    <row r="4" spans="1:15" ht="15.75" thickBot="1" x14ac:dyDescent="0.3">
      <c r="A4" s="1" t="s">
        <v>2</v>
      </c>
      <c r="B4" s="9">
        <v>6.9199999999999998E-2</v>
      </c>
      <c r="C4" s="2">
        <v>4228</v>
      </c>
      <c r="D4" s="12">
        <f t="shared" si="0"/>
        <v>61098.265895953758</v>
      </c>
      <c r="E4" s="12">
        <f t="shared" si="1"/>
        <v>65326.265895953758</v>
      </c>
      <c r="I4" s="1"/>
      <c r="J4" s="1"/>
      <c r="K4" s="1"/>
      <c r="L4" s="1"/>
    </row>
    <row r="5" spans="1:15" ht="15.75" thickBot="1" x14ac:dyDescent="0.3">
      <c r="A5" s="1" t="s">
        <v>3</v>
      </c>
      <c r="B5" s="9">
        <v>3.5700000000000003E-2</v>
      </c>
      <c r="C5" s="2">
        <v>5808</v>
      </c>
      <c r="D5" s="12">
        <f t="shared" si="0"/>
        <v>162689.07563025207</v>
      </c>
      <c r="E5" s="12">
        <f t="shared" si="1"/>
        <v>168497.07563025207</v>
      </c>
      <c r="I5" s="10" t="s">
        <v>47</v>
      </c>
      <c r="J5" s="1"/>
      <c r="K5" s="1"/>
      <c r="L5" s="1"/>
    </row>
    <row r="6" spans="1:15" ht="15.75" thickBot="1" x14ac:dyDescent="0.3">
      <c r="A6" s="1" t="s">
        <v>4</v>
      </c>
      <c r="B6" s="9">
        <v>1.8599999999999998E-2</v>
      </c>
      <c r="C6" s="2">
        <v>4990</v>
      </c>
      <c r="D6" s="12">
        <f t="shared" si="0"/>
        <v>268279.56989247311</v>
      </c>
      <c r="E6" s="12">
        <f t="shared" si="1"/>
        <v>273269.56989247311</v>
      </c>
      <c r="K6" s="15" t="s">
        <v>48</v>
      </c>
      <c r="L6">
        <f>M6*100/N6</f>
        <v>28.042000000000002</v>
      </c>
      <c r="M6" s="13">
        <f>O6-N6</f>
        <v>14021</v>
      </c>
      <c r="N6" s="13">
        <v>50000</v>
      </c>
      <c r="O6" s="12">
        <v>64021</v>
      </c>
    </row>
    <row r="7" spans="1:15" ht="15.75" thickBot="1" x14ac:dyDescent="0.3">
      <c r="A7" s="1" t="s">
        <v>5</v>
      </c>
      <c r="B7" s="9">
        <v>8.9099999999999999E-2</v>
      </c>
      <c r="C7" s="2">
        <v>5111</v>
      </c>
      <c r="D7" s="12">
        <f t="shared" si="0"/>
        <v>57362.514029180697</v>
      </c>
      <c r="E7" s="12">
        <f t="shared" si="1"/>
        <v>62473.514029180697</v>
      </c>
    </row>
    <row r="8" spans="1:15" ht="15.75" thickBot="1" x14ac:dyDescent="0.3">
      <c r="A8" s="1" t="s">
        <v>6</v>
      </c>
      <c r="B8" s="9">
        <v>7.4399999999999994E-2</v>
      </c>
      <c r="C8" s="2">
        <v>4907</v>
      </c>
      <c r="D8" s="12">
        <f t="shared" si="0"/>
        <v>65954.301075268828</v>
      </c>
      <c r="E8" s="12">
        <f t="shared" si="1"/>
        <v>70861.301075268828</v>
      </c>
    </row>
    <row r="9" spans="1:15" ht="15.75" thickBot="1" x14ac:dyDescent="0.3">
      <c r="A9" s="1" t="s">
        <v>7</v>
      </c>
      <c r="B9" s="9">
        <v>1.9E-2</v>
      </c>
      <c r="C9" s="2">
        <v>4642</v>
      </c>
      <c r="D9" s="12">
        <f t="shared" si="0"/>
        <v>244315.78947368421</v>
      </c>
      <c r="E9" s="12">
        <f t="shared" si="1"/>
        <v>248957.78947368421</v>
      </c>
    </row>
    <row r="10" spans="1:15" ht="15.75" thickBot="1" x14ac:dyDescent="0.3">
      <c r="A10" s="1" t="s">
        <v>8</v>
      </c>
      <c r="B10" s="9">
        <v>5.3800000000000001E-2</v>
      </c>
      <c r="C10" s="2">
        <v>4122</v>
      </c>
      <c r="D10" s="12">
        <f t="shared" si="0"/>
        <v>76617.100371747205</v>
      </c>
      <c r="E10" s="12">
        <f t="shared" si="1"/>
        <v>80739.100371747205</v>
      </c>
    </row>
    <row r="11" spans="1:15" ht="15.75" thickBot="1" x14ac:dyDescent="0.3">
      <c r="A11" s="1" t="s">
        <v>9</v>
      </c>
      <c r="B11" s="9">
        <v>6.7900000000000002E-2</v>
      </c>
      <c r="C11" s="2">
        <v>5231</v>
      </c>
      <c r="D11" s="12">
        <f t="shared" si="0"/>
        <v>77039.76435935199</v>
      </c>
      <c r="E11" s="12">
        <f t="shared" si="1"/>
        <v>82270.76435935199</v>
      </c>
    </row>
    <row r="12" spans="1:15" ht="15.75" thickBot="1" x14ac:dyDescent="0.3">
      <c r="A12" s="1" t="s">
        <v>10</v>
      </c>
      <c r="B12" s="9">
        <v>6.5699999999999995E-2</v>
      </c>
      <c r="C12" s="2">
        <v>4806</v>
      </c>
      <c r="D12" s="12">
        <f t="shared" si="0"/>
        <v>73150.684931506854</v>
      </c>
      <c r="E12" s="12">
        <f t="shared" si="1"/>
        <v>77956.684931506854</v>
      </c>
    </row>
    <row r="13" spans="1:15" ht="15.75" thickBot="1" x14ac:dyDescent="0.3">
      <c r="A13" s="1" t="s">
        <v>11</v>
      </c>
      <c r="B13" s="9">
        <v>8.43E-2</v>
      </c>
      <c r="C13" s="2">
        <v>5477</v>
      </c>
      <c r="D13" s="12">
        <f t="shared" si="0"/>
        <v>64970.34400948992</v>
      </c>
      <c r="E13" s="12">
        <f t="shared" si="1"/>
        <v>70447.344009489927</v>
      </c>
      <c r="K13" s="14"/>
    </row>
    <row r="14" spans="1:15" ht="15.75" thickBot="1" x14ac:dyDescent="0.3">
      <c r="A14" s="1" t="s">
        <v>12</v>
      </c>
      <c r="B14" s="9">
        <v>1.0699999999999999E-2</v>
      </c>
      <c r="C14" s="2">
        <v>5434</v>
      </c>
      <c r="D14" s="12">
        <f t="shared" si="0"/>
        <v>507850.46728971967</v>
      </c>
      <c r="E14" s="12">
        <f t="shared" si="1"/>
        <v>513284.46728971967</v>
      </c>
    </row>
    <row r="15" spans="1:15" ht="15.75" thickBot="1" x14ac:dyDescent="0.3">
      <c r="A15" s="1" t="s">
        <v>13</v>
      </c>
      <c r="B15" s="9">
        <v>2.3E-2</v>
      </c>
      <c r="C15" s="2">
        <v>4222</v>
      </c>
      <c r="D15" s="12">
        <f t="shared" si="0"/>
        <v>183565.21739130435</v>
      </c>
      <c r="E15" s="12">
        <f t="shared" si="1"/>
        <v>187787.21739130435</v>
      </c>
    </row>
    <row r="16" spans="1:15" ht="15.75" thickBot="1" x14ac:dyDescent="0.3">
      <c r="A16" s="1" t="s">
        <v>14</v>
      </c>
      <c r="B16" s="9">
        <v>1.03E-2</v>
      </c>
      <c r="C16" s="2">
        <v>5467</v>
      </c>
      <c r="D16" s="12">
        <f t="shared" si="0"/>
        <v>530776.6990291262</v>
      </c>
      <c r="E16" s="12">
        <f t="shared" si="1"/>
        <v>536243.6990291262</v>
      </c>
    </row>
    <row r="17" spans="1:5" ht="15.75" thickBot="1" x14ac:dyDescent="0.3">
      <c r="A17" s="1" t="s">
        <v>15</v>
      </c>
      <c r="B17" s="9">
        <v>2.6700000000000002E-2</v>
      </c>
      <c r="C17" s="2">
        <v>4728</v>
      </c>
      <c r="D17" s="12">
        <f t="shared" si="0"/>
        <v>177078.65168539324</v>
      </c>
      <c r="E17" s="12">
        <f t="shared" si="1"/>
        <v>181806.65168539324</v>
      </c>
    </row>
    <row r="18" spans="1:5" ht="15.75" thickBot="1" x14ac:dyDescent="0.3">
      <c r="A18" s="1" t="s">
        <v>16</v>
      </c>
      <c r="B18" s="9">
        <v>7.9600000000000004E-2</v>
      </c>
      <c r="C18" s="2">
        <v>4283</v>
      </c>
      <c r="D18" s="12">
        <f t="shared" si="0"/>
        <v>53806.532663316582</v>
      </c>
      <c r="E18" s="12">
        <f t="shared" si="1"/>
        <v>58089.532663316582</v>
      </c>
    </row>
    <row r="19" spans="1:5" ht="15.75" thickBot="1" x14ac:dyDescent="0.3">
      <c r="A19" s="1" t="s">
        <v>17</v>
      </c>
      <c r="B19" s="9">
        <v>8.3299999999999999E-2</v>
      </c>
      <c r="C19" s="2">
        <v>5069</v>
      </c>
      <c r="D19" s="12">
        <f t="shared" si="0"/>
        <v>60852.340936374552</v>
      </c>
      <c r="E19" s="12">
        <f t="shared" si="1"/>
        <v>65921.34093637456</v>
      </c>
    </row>
    <row r="20" spans="1:5" ht="15.75" thickBot="1" x14ac:dyDescent="0.3">
      <c r="A20" s="1" t="s">
        <v>18</v>
      </c>
      <c r="B20" s="9">
        <v>9.6000000000000002E-2</v>
      </c>
      <c r="C20" s="2">
        <v>4884</v>
      </c>
      <c r="D20" s="12">
        <f t="shared" si="0"/>
        <v>50875</v>
      </c>
      <c r="E20" s="12">
        <f t="shared" si="1"/>
        <v>55759</v>
      </c>
    </row>
    <row r="21" spans="1:5" ht="15.75" thickBot="1" x14ac:dyDescent="0.3">
      <c r="A21" s="1" t="s">
        <v>19</v>
      </c>
      <c r="B21" s="9">
        <v>9.9900000000000003E-2</v>
      </c>
      <c r="C21" s="2">
        <v>4279</v>
      </c>
      <c r="D21" s="12">
        <f t="shared" si="0"/>
        <v>42832.832832832835</v>
      </c>
      <c r="E21" s="12">
        <f t="shared" si="1"/>
        <v>47111.832832832835</v>
      </c>
    </row>
    <row r="22" spans="1:5" ht="15.75" thickBot="1" x14ac:dyDescent="0.3">
      <c r="A22" s="1" t="s">
        <v>20</v>
      </c>
      <c r="B22" s="9">
        <v>3.5700000000000003E-2</v>
      </c>
      <c r="C22" s="2">
        <v>5430</v>
      </c>
      <c r="D22" s="12">
        <f t="shared" si="0"/>
        <v>152100.84033613445</v>
      </c>
      <c r="E22" s="12">
        <f t="shared" si="1"/>
        <v>157530.84033613445</v>
      </c>
    </row>
    <row r="23" spans="1:5" ht="15.75" thickBot="1" x14ac:dyDescent="0.3">
      <c r="A23" s="1" t="s">
        <v>21</v>
      </c>
      <c r="B23" s="9">
        <v>4.7999999999999996E-3</v>
      </c>
      <c r="C23" s="2">
        <v>5409</v>
      </c>
      <c r="D23" s="12">
        <f t="shared" si="0"/>
        <v>1126875</v>
      </c>
      <c r="E23" s="12">
        <f t="shared" si="1"/>
        <v>1132284</v>
      </c>
    </row>
    <row r="24" spans="1:5" ht="15.75" thickBot="1" x14ac:dyDescent="0.3">
      <c r="A24" s="1" t="s">
        <v>22</v>
      </c>
      <c r="B24" s="9">
        <v>4.82E-2</v>
      </c>
      <c r="C24" s="2">
        <v>4009</v>
      </c>
      <c r="D24" s="12">
        <f t="shared" si="0"/>
        <v>83174.273858921166</v>
      </c>
      <c r="E24" s="12">
        <f t="shared" si="1"/>
        <v>87183.273858921166</v>
      </c>
    </row>
    <row r="25" spans="1:5" ht="15.75" thickBot="1" x14ac:dyDescent="0.3">
      <c r="A25" s="1" t="s">
        <v>23</v>
      </c>
      <c r="B25" s="9">
        <v>2.23E-2</v>
      </c>
      <c r="C25" s="2">
        <v>5071</v>
      </c>
      <c r="D25" s="12">
        <f t="shared" si="0"/>
        <v>227399.10313901346</v>
      </c>
      <c r="E25" s="12">
        <f t="shared" si="1"/>
        <v>232470.10313901346</v>
      </c>
    </row>
    <row r="26" spans="1:5" ht="15.75" thickBot="1" x14ac:dyDescent="0.3">
      <c r="A26" s="1" t="s">
        <v>24</v>
      </c>
      <c r="B26" s="9">
        <v>8.8200000000000001E-2</v>
      </c>
      <c r="C26" s="2">
        <v>5189</v>
      </c>
      <c r="D26" s="12">
        <f t="shared" si="0"/>
        <v>58832.199546485259</v>
      </c>
      <c r="E26" s="12">
        <f>D26+C26</f>
        <v>64021.199546485259</v>
      </c>
    </row>
    <row r="27" spans="1:5" ht="15.75" thickBot="1" x14ac:dyDescent="0.3">
      <c r="A27" s="1" t="s">
        <v>25</v>
      </c>
      <c r="B27" s="9">
        <v>1.9199999999999998E-2</v>
      </c>
      <c r="C27" s="2">
        <v>4974</v>
      </c>
      <c r="D27" s="12">
        <f t="shared" si="0"/>
        <v>259062.50000000003</v>
      </c>
      <c r="E27" s="12">
        <f t="shared" si="1"/>
        <v>264036.5</v>
      </c>
    </row>
    <row r="28" spans="1:5" ht="15.75" thickBot="1" x14ac:dyDescent="0.3">
      <c r="A28" s="1" t="s">
        <v>26</v>
      </c>
      <c r="B28" s="9">
        <v>4.3499999999999997E-2</v>
      </c>
      <c r="C28" s="2">
        <v>5571</v>
      </c>
      <c r="D28" s="12">
        <f t="shared" si="0"/>
        <v>128068.96551724139</v>
      </c>
      <c r="E28" s="12">
        <f t="shared" si="1"/>
        <v>133639.96551724139</v>
      </c>
    </row>
    <row r="29" spans="1:5" ht="15.75" thickBot="1" x14ac:dyDescent="0.3">
      <c r="A29" s="1" t="s">
        <v>27</v>
      </c>
      <c r="B29" s="9">
        <v>9.7999999999999997E-3</v>
      </c>
      <c r="C29" s="2">
        <v>4377</v>
      </c>
      <c r="D29" s="12">
        <f t="shared" si="0"/>
        <v>446632.6530612245</v>
      </c>
      <c r="E29" s="12">
        <f t="shared" si="1"/>
        <v>451009.6530612245</v>
      </c>
    </row>
    <row r="30" spans="1:5" ht="15.75" thickBot="1" x14ac:dyDescent="0.3">
      <c r="A30" s="1" t="s">
        <v>28</v>
      </c>
      <c r="B30" s="9">
        <v>7.0800000000000002E-2</v>
      </c>
      <c r="C30" s="2">
        <v>4909</v>
      </c>
      <c r="D30" s="12">
        <f t="shared" si="0"/>
        <v>69336.158192090399</v>
      </c>
      <c r="E30" s="12">
        <f t="shared" si="1"/>
        <v>74245.158192090399</v>
      </c>
    </row>
    <row r="31" spans="1:5" ht="15.75" thickBot="1" x14ac:dyDescent="0.3">
      <c r="A31" s="1" t="s">
        <v>29</v>
      </c>
      <c r="B31" s="9">
        <v>9.7100000000000006E-2</v>
      </c>
      <c r="C31" s="2">
        <v>5642</v>
      </c>
      <c r="D31" s="12">
        <f t="shared" si="0"/>
        <v>58105.046343975278</v>
      </c>
      <c r="E31" s="12">
        <f t="shared" si="1"/>
        <v>63747.046343975278</v>
      </c>
    </row>
    <row r="32" spans="1:5" ht="15.75" thickBot="1" x14ac:dyDescent="0.3">
      <c r="A32" s="1" t="s">
        <v>30</v>
      </c>
      <c r="B32" s="9">
        <v>2.46E-2</v>
      </c>
      <c r="C32" s="2">
        <v>4619</v>
      </c>
      <c r="D32" s="12">
        <f t="shared" si="0"/>
        <v>187764.22764227641</v>
      </c>
      <c r="E32" s="12">
        <f t="shared" si="1"/>
        <v>192383.22764227641</v>
      </c>
    </row>
    <row r="33" spans="1:5" ht="15.75" thickBot="1" x14ac:dyDescent="0.3">
      <c r="A33" s="1" t="s">
        <v>31</v>
      </c>
      <c r="B33" s="9">
        <v>9.5100000000000004E-2</v>
      </c>
      <c r="C33" s="2">
        <v>5571</v>
      </c>
      <c r="D33" s="12">
        <f t="shared" si="0"/>
        <v>58580.441640378544</v>
      </c>
      <c r="E33" s="12">
        <f t="shared" si="1"/>
        <v>64151.441640378544</v>
      </c>
    </row>
    <row r="34" spans="1:5" ht="15.75" thickBot="1" x14ac:dyDescent="0.3">
      <c r="A34" s="1" t="s">
        <v>32</v>
      </c>
      <c r="B34" s="9">
        <v>1.41E-2</v>
      </c>
      <c r="C34" s="2">
        <v>5146</v>
      </c>
      <c r="D34" s="12">
        <f t="shared" si="0"/>
        <v>364964.53900709219</v>
      </c>
      <c r="E34" s="12">
        <f t="shared" si="1"/>
        <v>370110.53900709219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2023-09-28T05:43:24Z</dcterms:created>
  <dcterms:modified xsi:type="dcterms:W3CDTF">2023-09-28T06:40:10Z</dcterms:modified>
</cp:coreProperties>
</file>